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nds" sheetId="1" state="visible" r:id="rId1"/>
    <sheet xmlns:r="http://schemas.openxmlformats.org/officeDocument/2006/relationships" name="Daily" sheetId="2" state="visible" r:id="rId2"/>
    <sheet xmlns:r="http://schemas.openxmlformats.org/officeDocument/2006/relationships" name="Weekly" sheetId="3" state="visible" r:id="rId3"/>
    <sheet xmlns:r="http://schemas.openxmlformats.org/officeDocument/2006/relationships" name="Monthly" sheetId="4" state="visible" r:id="rId4"/>
    <sheet xmlns:r="http://schemas.openxmlformats.org/officeDocument/2006/relationships" name="Quarter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%"/>
    <numFmt numFmtId="167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3" fillId="3" borderId="1" pivotButton="0" quotePrefix="0" xfId="0"/>
    <xf numFmtId="3" fontId="3" fillId="3" borderId="1" pivotButton="0" quotePrefix="0" xfId="0"/>
    <xf numFmtId="166" fontId="3" fillId="3" borderId="1" pivotButton="0" quotePrefix="0" xfId="0"/>
    <xf numFmtId="167" fontId="3" fillId="3" borderId="1" pivotButton="0" quotePrefix="0" xfId="0"/>
    <xf numFmtId="0" fontId="4" fillId="3" borderId="1" applyAlignment="1" pivotButton="0" quotePrefix="0" xfId="0">
      <alignment horizontal="center"/>
    </xf>
    <xf numFmtId="0" fontId="3" fillId="4" borderId="1" pivotButton="0" quotePrefix="0" xfId="0"/>
    <xf numFmtId="165" fontId="3" fillId="4" borderId="1" pivotButton="0" quotePrefix="0" xfId="0"/>
    <xf numFmtId="3" fontId="3" fillId="4" borderId="1" pivotButton="0" quotePrefix="0" xfId="0"/>
    <xf numFmtId="166" fontId="3" fillId="4" borderId="1" pivotButton="0" quotePrefix="0" xfId="0"/>
    <xf numFmtId="167" fontId="3" fillId="4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" t="inlineStr">
        <is>
          <t>JH Email Stats — All Sends</t>
        </is>
      </c>
    </row>
    <row r="2" ht="30" customHeight="1">
      <c r="A2" s="2" t="inlineStr">
        <is>
          <t>Email Name</t>
        </is>
      </c>
      <c r="B2" s="2" t="inlineStr">
        <is>
          <t>Send Date</t>
        </is>
      </c>
      <c r="C2" s="2" t="inlineStr">
        <is>
          <t>Ask Type</t>
        </is>
      </c>
      <c r="D2" s="2" t="inlineStr">
        <is>
          <t>Recipients</t>
        </is>
      </c>
      <c r="E2" s="2" t="inlineStr">
        <is>
          <t>Unique Open Rate</t>
        </is>
      </c>
      <c r="F2" s="2" t="inlineStr">
        <is>
          <t>Unique Click Rate</t>
        </is>
      </c>
      <c r="G2" s="2" t="inlineStr">
        <is>
          <t>Total Open Rate</t>
        </is>
      </c>
      <c r="H2" s="2" t="inlineStr">
        <is>
          <t>Bounce Rate</t>
        </is>
      </c>
      <c r="I2" s="2" t="inlineStr">
        <is>
          <t>Unsub Rate</t>
        </is>
      </c>
      <c r="J2" s="2" t="inlineStr">
        <is>
          <t>Conversions</t>
        </is>
      </c>
      <c r="K2" s="2" t="inlineStr">
        <is>
          <t>Amount Raised</t>
        </is>
      </c>
      <c r="L2" s="2" t="inlineStr">
        <is>
          <t>Unique Clicks</t>
        </is>
      </c>
      <c r="M2" s="2" t="inlineStr">
        <is>
          <t>Unique Opens</t>
        </is>
      </c>
      <c r="N2" s="2" t="inlineStr">
        <is>
          <t>Rating</t>
        </is>
      </c>
    </row>
    <row r="3">
      <c r="A3" s="3" t="inlineStr">
        <is>
          <t>JH_EM_FR_180DO_250227_1_1</t>
        </is>
      </c>
      <c r="B3" s="4" t="n">
        <v>45715</v>
      </c>
      <c r="C3" s="3" t="inlineStr">
        <is>
          <t>N/A</t>
        </is>
      </c>
      <c r="D3" s="5" t="n">
        <v>3432</v>
      </c>
      <c r="E3" s="6" t="n">
        <v>0.36013986013</v>
      </c>
      <c r="F3" s="6" t="n">
        <v>0.03001165501</v>
      </c>
      <c r="G3" s="6" t="n">
        <v>0.6704545454500001</v>
      </c>
      <c r="H3" s="6" t="n">
        <v>0.01136363636</v>
      </c>
      <c r="I3" s="6" t="n">
        <v>0.01486013986</v>
      </c>
      <c r="J3" s="5" t="n">
        <v>0</v>
      </c>
      <c r="K3" s="7" t="n">
        <v>0</v>
      </c>
      <c r="L3" s="5" t="n">
        <v>103</v>
      </c>
      <c r="M3" s="5" t="n">
        <v>1236</v>
      </c>
      <c r="N3" s="8">
        <f>IF(E3&gt;=0.25,"Excellent",IF(E3&gt;=0.20,"Good",IF(E3&gt;=0.15,"Average",IF(E3&gt;=0.10,"Below Avg","Poor"))))</f>
        <v/>
      </c>
    </row>
    <row r="4">
      <c r="A4" s="9" t="inlineStr">
        <is>
          <t>JH_EM_EN_180DO_251114_1_1</t>
        </is>
      </c>
      <c r="B4" s="10" t="n">
        <v>45975</v>
      </c>
      <c r="C4" s="9" t="inlineStr">
        <is>
          <t>Petition</t>
        </is>
      </c>
      <c r="D4" s="11" t="n">
        <v>3898</v>
      </c>
      <c r="E4" s="12" t="n">
        <v>0.3224730631</v>
      </c>
      <c r="F4" s="12" t="n">
        <v>0.07311441765</v>
      </c>
      <c r="G4" s="12" t="n">
        <v>0.66341713699</v>
      </c>
      <c r="H4" s="12" t="n">
        <v>0.00667008722</v>
      </c>
      <c r="I4" s="12" t="n">
        <v>0.00897896357</v>
      </c>
      <c r="J4" s="11" t="n">
        <v>0</v>
      </c>
      <c r="K4" s="13" t="n">
        <v>0</v>
      </c>
      <c r="L4" s="11" t="n">
        <v>285</v>
      </c>
      <c r="M4" s="11" t="n">
        <v>1257</v>
      </c>
      <c r="N4" s="14">
        <f>IF(E4&gt;=0.25,"Excellent",IF(E4&gt;=0.20,"Good",IF(E4&gt;=0.15,"Average",IF(E4&gt;=0.10,"Below Avg","Poor"))))</f>
        <v/>
      </c>
    </row>
    <row r="5">
      <c r="A5" s="3" t="inlineStr">
        <is>
          <t>JH_EM_FR_180DO_251205_1_1</t>
        </is>
      </c>
      <c r="B5" s="4" t="n">
        <v>45996</v>
      </c>
      <c r="C5" s="3" t="inlineStr">
        <is>
          <t>Fundraising</t>
        </is>
      </c>
      <c r="D5" s="5" t="n">
        <v>3870</v>
      </c>
      <c r="E5" s="6" t="n">
        <v>0.32428940568</v>
      </c>
      <c r="F5" s="6" t="n">
        <v>0.02558139534</v>
      </c>
      <c r="G5" s="6" t="n">
        <v>0.66821705426</v>
      </c>
      <c r="H5" s="6" t="n">
        <v>0.00413436692</v>
      </c>
      <c r="I5" s="6" t="n">
        <v>0.0118863049</v>
      </c>
      <c r="J5" s="5" t="n">
        <v>0</v>
      </c>
      <c r="K5" s="7" t="n">
        <v>0</v>
      </c>
      <c r="L5" s="5" t="n">
        <v>99</v>
      </c>
      <c r="M5" s="5" t="n">
        <v>1255</v>
      </c>
      <c r="N5" s="8">
        <f>IF(E5&gt;=0.25,"Excellent",IF(E5&gt;=0.20,"Good",IF(E5&gt;=0.15,"Average",IF(E5&gt;=0.10,"Below Avg","Poor"))))</f>
        <v/>
      </c>
    </row>
    <row r="6">
      <c r="A6" s="9" t="inlineStr">
        <is>
          <t>JH_EM_EN_180DO_251224_1_1</t>
        </is>
      </c>
      <c r="B6" s="10" t="n">
        <v>46015</v>
      </c>
      <c r="C6" s="9" t="inlineStr">
        <is>
          <t>Fundraising</t>
        </is>
      </c>
      <c r="D6" s="11" t="n">
        <v>3217</v>
      </c>
      <c r="E6" s="12" t="n">
        <v>0.35156978551</v>
      </c>
      <c r="F6" s="12" t="n">
        <v>0.01771837115</v>
      </c>
      <c r="G6" s="12" t="n">
        <v>0.67951507615</v>
      </c>
      <c r="H6" s="12" t="n">
        <v>0.009947155730000001</v>
      </c>
      <c r="I6" s="12" t="n">
        <v>0.01087970158</v>
      </c>
      <c r="J6" s="11" t="n">
        <v>0</v>
      </c>
      <c r="K6" s="13" t="n">
        <v>0</v>
      </c>
      <c r="L6" s="11" t="n">
        <v>57</v>
      </c>
      <c r="M6" s="11" t="n">
        <v>1131</v>
      </c>
      <c r="N6" s="14">
        <f>IF(E6&gt;=0.25,"Excellent",IF(E6&gt;=0.20,"Good",IF(E6&gt;=0.15,"Average",IF(E6&gt;=0.10,"Below Avg","Poor"))))</f>
        <v/>
      </c>
    </row>
    <row r="7">
      <c r="A7" s="3" t="inlineStr">
        <is>
          <t>JH_EM_FR_180DO_251231_1_1</t>
        </is>
      </c>
      <c r="B7" s="4" t="n">
        <v>46022</v>
      </c>
      <c r="C7" s="3" t="inlineStr">
        <is>
          <t>Fundraising</t>
        </is>
      </c>
      <c r="D7" s="5" t="n">
        <v>3050</v>
      </c>
      <c r="E7" s="6" t="n">
        <v>0.27836065573</v>
      </c>
      <c r="F7" s="6" t="n">
        <v>0.03213114754</v>
      </c>
      <c r="G7" s="6" t="n">
        <v>0.54393442622</v>
      </c>
      <c r="H7" s="6" t="n">
        <v>0.00393442622</v>
      </c>
      <c r="I7" s="6" t="n">
        <v>0.00590163934</v>
      </c>
      <c r="J7" s="5" t="n">
        <v>0</v>
      </c>
      <c r="K7" s="7" t="n">
        <v>0</v>
      </c>
      <c r="L7" s="5" t="n">
        <v>98</v>
      </c>
      <c r="M7" s="5" t="n">
        <v>849</v>
      </c>
      <c r="N7" s="8">
        <f>IF(E7&gt;=0.25,"Excellent",IF(E7&gt;=0.20,"Good",IF(E7&gt;=0.15,"Average",IF(E7&gt;=0.10,"Below Avg","Poor"))))</f>
        <v/>
      </c>
    </row>
    <row r="8">
      <c r="A8" s="9" t="inlineStr">
        <is>
          <t>JH_EM_FR_WL_251231_2_2</t>
        </is>
      </c>
      <c r="B8" s="10" t="n">
        <v>46022</v>
      </c>
      <c r="C8" s="9" t="inlineStr">
        <is>
          <t>Fundraising</t>
        </is>
      </c>
      <c r="D8" s="11" t="n">
        <v>57906</v>
      </c>
      <c r="E8" s="12" t="n">
        <v>0.02896072945</v>
      </c>
      <c r="F8" s="12" t="n">
        <v>0.00179601422</v>
      </c>
      <c r="G8" s="12" t="n">
        <v>0.19674990501</v>
      </c>
      <c r="H8" s="12" t="n">
        <v>0.05555555555</v>
      </c>
      <c r="I8" s="12" t="n">
        <v>0.00758125237</v>
      </c>
      <c r="J8" s="11" t="n">
        <v>0</v>
      </c>
      <c r="K8" s="13" t="n">
        <v>0</v>
      </c>
      <c r="L8" s="11" t="n">
        <v>104</v>
      </c>
      <c r="M8" s="11" t="n">
        <v>1677</v>
      </c>
      <c r="N8" s="14">
        <f>IF(E8&gt;=0.25,"Excellent",IF(E8&gt;=0.20,"Good",IF(E8&gt;=0.15,"Average",IF(E8&gt;=0.10,"Below Avg","Poor"))))</f>
        <v/>
      </c>
    </row>
    <row r="9">
      <c r="A9" s="3" t="inlineStr">
        <is>
          <t>Final Dem Delegate Letter 1.2.2026</t>
        </is>
      </c>
      <c r="B9" s="4" t="n">
        <v>46024</v>
      </c>
      <c r="C9" s="3" t="inlineStr">
        <is>
          <t>Fundraising</t>
        </is>
      </c>
      <c r="D9" s="5" t="n">
        <v>162</v>
      </c>
      <c r="E9" s="6" t="n">
        <v>0.12962962962</v>
      </c>
      <c r="F9" s="6" t="n">
        <v>0.04320987654</v>
      </c>
      <c r="G9" s="6" t="n">
        <v>0.33333333333</v>
      </c>
      <c r="H9" s="6" t="n">
        <v>0.01851851851</v>
      </c>
      <c r="I9" s="6" t="n">
        <v>0</v>
      </c>
      <c r="J9" s="5" t="n">
        <v>0</v>
      </c>
      <c r="K9" s="7" t="n">
        <v>0</v>
      </c>
      <c r="L9" s="5" t="n">
        <v>7</v>
      </c>
      <c r="M9" s="5" t="n">
        <v>21</v>
      </c>
      <c r="N9" s="8">
        <f>IF(E9&gt;=0.25,"Excellent",IF(E9&gt;=0.20,"Good",IF(E9&gt;=0.15,"Average",IF(E9&gt;=0.10,"Below Avg","Poor"))))</f>
        <v/>
      </c>
    </row>
    <row r="10">
      <c r="A10" s="9" t="inlineStr">
        <is>
          <t>Second delegate email</t>
        </is>
      </c>
      <c r="B10" s="10" t="n">
        <v>46038</v>
      </c>
      <c r="C10" s="9" t="inlineStr">
        <is>
          <t>Fundraising</t>
        </is>
      </c>
      <c r="D10" s="11" t="n">
        <v>160</v>
      </c>
      <c r="E10" s="12" t="n">
        <v>0.19375</v>
      </c>
      <c r="F10" s="12" t="n">
        <v>0.06875000000000001</v>
      </c>
      <c r="G10" s="12" t="n">
        <v>0.45</v>
      </c>
      <c r="H10" s="12" t="n">
        <v>0.00625</v>
      </c>
      <c r="I10" s="12" t="n">
        <v>0</v>
      </c>
      <c r="J10" s="11" t="n">
        <v>0</v>
      </c>
      <c r="K10" s="13" t="n">
        <v>0</v>
      </c>
      <c r="L10" s="11" t="n">
        <v>11</v>
      </c>
      <c r="M10" s="11" t="n">
        <v>31</v>
      </c>
      <c r="N10" s="14">
        <f>IF(E10&gt;=0.25,"Excellent",IF(E10&gt;=0.20,"Good",IF(E10&gt;=0.15,"Average",IF(E10&gt;=0.10,"Below Avg","Poor"))))</f>
        <v/>
      </c>
    </row>
    <row r="11">
      <c r="A11" s="3" t="inlineStr">
        <is>
          <t>JH_EM_FR_180DO_260116_1_1_SPLIT</t>
        </is>
      </c>
      <c r="B11" s="4" t="n">
        <v>46038</v>
      </c>
      <c r="C11" s="3" t="inlineStr">
        <is>
          <t>Fundraising</t>
        </is>
      </c>
      <c r="D11" s="5" t="n">
        <v>3726</v>
      </c>
      <c r="E11" s="6" t="n">
        <v>0.15190552871</v>
      </c>
      <c r="F11" s="6" t="n">
        <v>0.02012882447</v>
      </c>
      <c r="G11" s="6" t="n">
        <v>0.3035426731</v>
      </c>
      <c r="H11" s="6" t="n">
        <v>0.02871712292</v>
      </c>
      <c r="I11" s="6" t="n">
        <v>0.01341921631</v>
      </c>
      <c r="J11" s="5" t="n">
        <v>0</v>
      </c>
      <c r="K11" s="7" t="n">
        <v>0</v>
      </c>
      <c r="L11" s="5" t="n">
        <v>75</v>
      </c>
      <c r="M11" s="5" t="n">
        <v>566</v>
      </c>
      <c r="N11" s="8">
        <f>IF(E11&gt;=0.25,"Excellent",IF(E11&gt;=0.20,"Good",IF(E11&gt;=0.15,"Average",IF(E11&gt;=0.10,"Below Avg","Poor"))))</f>
        <v/>
      </c>
    </row>
    <row r="12">
      <c r="A12" s="9" t="inlineStr">
        <is>
          <t>Regrets2</t>
        </is>
      </c>
      <c r="B12" s="10" t="n">
        <v>46073</v>
      </c>
      <c r="C12" s="9" t="inlineStr">
        <is>
          <t>Fundraising</t>
        </is>
      </c>
      <c r="D12" s="11" t="n">
        <v>158</v>
      </c>
      <c r="E12" s="12" t="n">
        <v>0.17088607594</v>
      </c>
      <c r="F12" s="12" t="n">
        <v>0.03164556962</v>
      </c>
      <c r="G12" s="12" t="n">
        <v>0.56329113924</v>
      </c>
      <c r="H12" s="12" t="n">
        <v>0.00632911392</v>
      </c>
      <c r="I12" s="12" t="n">
        <v>0</v>
      </c>
      <c r="J12" s="11" t="n">
        <v>0</v>
      </c>
      <c r="K12" s="13" t="n">
        <v>0</v>
      </c>
      <c r="L12" s="11" t="n">
        <v>5</v>
      </c>
      <c r="M12" s="11" t="n">
        <v>27</v>
      </c>
      <c r="N12" s="14">
        <f>IF(E12&gt;=0.25,"Excellent",IF(E12&gt;=0.20,"Good",IF(E12&gt;=0.15,"Average",IF(E12&gt;=0.10,"Below Avg","Poor"))))</f>
        <v/>
      </c>
    </row>
    <row r="13">
      <c r="A13" s="3" t="inlineStr">
        <is>
          <t>JH_EM_PT_1YO_260312_1_1</t>
        </is>
      </c>
      <c r="B13" s="4" t="n">
        <v>46093</v>
      </c>
      <c r="C13" s="3" t="inlineStr">
        <is>
          <t>Petition</t>
        </is>
      </c>
      <c r="D13" s="5" t="n">
        <v>4399</v>
      </c>
      <c r="E13" s="6" t="n">
        <v>0.30165946806</v>
      </c>
      <c r="F13" s="6" t="n">
        <v>0.06956126392</v>
      </c>
      <c r="G13" s="6" t="n">
        <v>0.64014548761</v>
      </c>
      <c r="H13" s="6" t="n">
        <v>0.00659240736</v>
      </c>
      <c r="I13" s="6" t="n">
        <v>0.009547624459999999</v>
      </c>
      <c r="J13" s="5" t="n">
        <v>0</v>
      </c>
      <c r="K13" s="7" t="n">
        <v>0</v>
      </c>
      <c r="L13" s="5" t="n">
        <v>306</v>
      </c>
      <c r="M13" s="5" t="n">
        <v>1327</v>
      </c>
      <c r="N13" s="8">
        <f>IF(E13&gt;=0.25,"Excellent",IF(E13&gt;=0.20,"Good",IF(E13&gt;=0.15,"Average",IF(E13&gt;=0.10,"Below Avg","Poor"))))</f>
        <v/>
      </c>
    </row>
    <row r="14">
      <c r="A14" s="9" t="inlineStr">
        <is>
          <t>JH_EM_PT_1YO_260313_1_2</t>
        </is>
      </c>
      <c r="B14" s="10" t="n">
        <v>46094</v>
      </c>
      <c r="C14" s="9" t="inlineStr">
        <is>
          <t>Petition</t>
        </is>
      </c>
      <c r="D14" s="11" t="n">
        <v>4345</v>
      </c>
      <c r="E14" s="12" t="n">
        <v>0.28561565017</v>
      </c>
      <c r="F14" s="12" t="n">
        <v>0.06490218641999999</v>
      </c>
      <c r="G14" s="12" t="n">
        <v>0.60690448791</v>
      </c>
      <c r="H14" s="12" t="n">
        <v>0.00391254315</v>
      </c>
      <c r="I14" s="12" t="n">
        <v>0.00851553509</v>
      </c>
      <c r="J14" s="11" t="n">
        <v>0</v>
      </c>
      <c r="K14" s="13" t="n">
        <v>0</v>
      </c>
      <c r="L14" s="11" t="n">
        <v>282</v>
      </c>
      <c r="M14" s="11" t="n">
        <v>1241</v>
      </c>
      <c r="N14" s="14">
        <f>IF(E14&gt;=0.25,"Excellent",IF(E14&gt;=0.20,"Good",IF(E14&gt;=0.15,"Average",IF(E14&gt;=0.10,"Below Avg","Poor"))))</f>
        <v/>
      </c>
    </row>
    <row r="15">
      <c r="A15" s="3" t="inlineStr">
        <is>
          <t>JH_EM_FR_180DO_260316_1_1</t>
        </is>
      </c>
      <c r="B15" s="4" t="n">
        <v>46097</v>
      </c>
      <c r="C15" s="3" t="inlineStr">
        <is>
          <t>Fundraising</t>
        </is>
      </c>
      <c r="D15" s="5" t="n">
        <v>3616</v>
      </c>
      <c r="E15" s="6" t="n">
        <v>0.33102876106</v>
      </c>
      <c r="F15" s="6" t="n">
        <v>0.02793141592</v>
      </c>
      <c r="G15" s="6" t="n">
        <v>0.64988938053</v>
      </c>
      <c r="H15" s="6" t="n">
        <v>0.01299778761</v>
      </c>
      <c r="I15" s="6" t="n">
        <v>0.00967920353</v>
      </c>
      <c r="J15" s="5" t="n">
        <v>0</v>
      </c>
      <c r="K15" s="7" t="n">
        <v>0</v>
      </c>
      <c r="L15" s="5" t="n">
        <v>101</v>
      </c>
      <c r="M15" s="5" t="n">
        <v>1197</v>
      </c>
      <c r="N15" s="8">
        <f>IF(E15&gt;=0.25,"Excellent",IF(E15&gt;=0.20,"Good",IF(E15&gt;=0.15,"Average",IF(E15&gt;=0.10,"Below Avg","Poor"))))</f>
        <v/>
      </c>
    </row>
    <row r="16">
      <c r="A16" s="9" t="inlineStr">
        <is>
          <t>JH_EM_FR_180DO_260316_2_2</t>
        </is>
      </c>
      <c r="B16" s="10" t="n">
        <v>46097</v>
      </c>
      <c r="C16" s="9" t="inlineStr">
        <is>
          <t>Fundraising</t>
        </is>
      </c>
      <c r="D16" s="11" t="n">
        <v>3569</v>
      </c>
      <c r="E16" s="12" t="n">
        <v>0.28999719809</v>
      </c>
      <c r="F16" s="12" t="n">
        <v>0.02157467077</v>
      </c>
      <c r="G16" s="12" t="n">
        <v>0.59680582796</v>
      </c>
      <c r="H16" s="12" t="n">
        <v>0.01204819277</v>
      </c>
      <c r="I16" s="12" t="n">
        <v>0.00924628747</v>
      </c>
      <c r="J16" s="11" t="n">
        <v>0</v>
      </c>
      <c r="K16" s="13" t="n">
        <v>0</v>
      </c>
      <c r="L16" s="11" t="n">
        <v>77</v>
      </c>
      <c r="M16" s="11" t="n">
        <v>1035</v>
      </c>
      <c r="N16" s="14">
        <f>IF(E16&gt;=0.25,"Excellent",IF(E16&gt;=0.20,"Good",IF(E16&gt;=0.15,"Average",IF(E16&gt;=0.10,"Below Avg","Poor"))))</f>
        <v/>
      </c>
    </row>
    <row r="17">
      <c r="A17" s="3" t="inlineStr">
        <is>
          <t>2026  Democracy Summer Outreach</t>
        </is>
      </c>
      <c r="B17" s="4" t="n">
        <v>46107</v>
      </c>
      <c r="C17" s="3" t="inlineStr">
        <is>
          <t>Fundraising</t>
        </is>
      </c>
      <c r="D17" s="5" t="n">
        <v>2257</v>
      </c>
      <c r="E17" s="6" t="n">
        <v>0.09614532565</v>
      </c>
      <c r="F17" s="6" t="n">
        <v>0.00620292423</v>
      </c>
      <c r="G17" s="6" t="n">
        <v>0.50420912715</v>
      </c>
      <c r="H17" s="6" t="n">
        <v>0.05095259193</v>
      </c>
      <c r="I17" s="6" t="n">
        <v>0.00088613203</v>
      </c>
      <c r="J17" s="5" t="n">
        <v>0</v>
      </c>
      <c r="K17" s="7" t="n">
        <v>0</v>
      </c>
      <c r="L17" s="5" t="n">
        <v>14</v>
      </c>
      <c r="M17" s="5" t="n">
        <v>217</v>
      </c>
      <c r="N17" s="8">
        <f>IF(E17&gt;=0.25,"Excellent",IF(E17&gt;=0.20,"Good",IF(E17&gt;=0.15,"Average",IF(E17&gt;=0.10,"Below Avg","Poor"))))</f>
        <v/>
      </c>
    </row>
    <row r="18">
      <c r="A18" s="9" t="inlineStr">
        <is>
          <t>JH_EM_FR_180DO_260326_1_1</t>
        </is>
      </c>
      <c r="B18" s="10" t="n">
        <v>46107</v>
      </c>
      <c r="C18" s="9" t="inlineStr">
        <is>
          <t>Fundraising</t>
        </is>
      </c>
      <c r="D18" s="11" t="n">
        <v>3448</v>
      </c>
      <c r="E18" s="12" t="n">
        <v>0.2824825986</v>
      </c>
      <c r="F18" s="12" t="n">
        <v>0.02958236658</v>
      </c>
      <c r="G18" s="12" t="n">
        <v>0.58758700696</v>
      </c>
      <c r="H18" s="12" t="n">
        <v>0.00261020881</v>
      </c>
      <c r="I18" s="12" t="n">
        <v>0.00638051044</v>
      </c>
      <c r="J18" s="11" t="n">
        <v>0</v>
      </c>
      <c r="K18" s="13" t="n">
        <v>0</v>
      </c>
      <c r="L18" s="11" t="n">
        <v>102</v>
      </c>
      <c r="M18" s="11" t="n">
        <v>974</v>
      </c>
      <c r="N18" s="14">
        <f>IF(E18&gt;=0.25,"Excellent",IF(E18&gt;=0.20,"Good",IF(E18&gt;=0.15,"Average",IF(E18&gt;=0.10,"Below Avg","Poor"))))</f>
        <v/>
      </c>
    </row>
    <row r="19">
      <c r="A19" s="3" t="inlineStr">
        <is>
          <t>JH_EM_FR_90DO_260327_1_2</t>
        </is>
      </c>
      <c r="B19" s="4" t="n">
        <v>46108</v>
      </c>
      <c r="C19" s="3" t="inlineStr">
        <is>
          <t>Fundraising</t>
        </is>
      </c>
      <c r="D19" s="5" t="n">
        <v>2662</v>
      </c>
      <c r="E19" s="6" t="n">
        <v>0.35462058602</v>
      </c>
      <c r="F19" s="6" t="n">
        <v>0.02479338842</v>
      </c>
      <c r="G19" s="6" t="n">
        <v>0.6724267468</v>
      </c>
      <c r="H19" s="6" t="n">
        <v>0.0033809166</v>
      </c>
      <c r="I19" s="6" t="n">
        <v>0.0067618332</v>
      </c>
      <c r="J19" s="5" t="n">
        <v>0</v>
      </c>
      <c r="K19" s="7" t="n">
        <v>0</v>
      </c>
      <c r="L19" s="5" t="n">
        <v>66</v>
      </c>
      <c r="M19" s="5" t="n">
        <v>944</v>
      </c>
      <c r="N19" s="8">
        <f>IF(E19&gt;=0.25,"Excellent",IF(E19&gt;=0.20,"Good",IF(E19&gt;=0.15,"Average",IF(E19&gt;=0.10,"Below Avg","Poor"))))</f>
        <v/>
      </c>
    </row>
    <row r="20">
      <c r="A20" s="9" t="inlineStr">
        <is>
          <t>JH_EM_FR_90DO_260329_1_3</t>
        </is>
      </c>
      <c r="B20" s="10" t="n">
        <v>46110</v>
      </c>
      <c r="C20" s="9" t="inlineStr">
        <is>
          <t>Fundraising</t>
        </is>
      </c>
      <c r="D20" s="11" t="n">
        <v>2627</v>
      </c>
      <c r="E20" s="12" t="n">
        <v>0.35820327369</v>
      </c>
      <c r="F20" s="12" t="n">
        <v>0.03616292348</v>
      </c>
      <c r="G20" s="12" t="n">
        <v>0.65892653216</v>
      </c>
      <c r="H20" s="12" t="n">
        <v>0.00304529881</v>
      </c>
      <c r="I20" s="12" t="n">
        <v>0.007993909400000001</v>
      </c>
      <c r="J20" s="11" t="n">
        <v>0</v>
      </c>
      <c r="K20" s="13" t="n">
        <v>0</v>
      </c>
      <c r="L20" s="11" t="n">
        <v>95</v>
      </c>
      <c r="M20" s="11" t="n">
        <v>941</v>
      </c>
      <c r="N20" s="14">
        <f>IF(E20&gt;=0.25,"Excellent",IF(E20&gt;=0.20,"Good",IF(E20&gt;=0.15,"Average",IF(E20&gt;=0.10,"Below Avg","Poor"))))</f>
        <v/>
      </c>
    </row>
    <row r="21">
      <c r="A21" s="3" t="inlineStr">
        <is>
          <t>2026 Sponsor #1</t>
        </is>
      </c>
      <c r="B21" s="4" t="n">
        <v>46111</v>
      </c>
      <c r="C21" s="3" t="inlineStr">
        <is>
          <t>Fundraising</t>
        </is>
      </c>
      <c r="D21" s="5" t="n">
        <v>228</v>
      </c>
      <c r="E21" s="6" t="n">
        <v>0.24561403508</v>
      </c>
      <c r="F21" s="6" t="n">
        <v>0.1096491228</v>
      </c>
      <c r="G21" s="6" t="n">
        <v>1.36842105263</v>
      </c>
      <c r="H21" s="6" t="n">
        <v>0.02192982456</v>
      </c>
      <c r="I21" s="6" t="n">
        <v>0</v>
      </c>
      <c r="J21" s="5" t="n">
        <v>17</v>
      </c>
      <c r="K21" s="7" t="n">
        <v>12000</v>
      </c>
      <c r="L21" s="5" t="n">
        <v>25</v>
      </c>
      <c r="M21" s="5" t="n">
        <v>56</v>
      </c>
      <c r="N21" s="8">
        <f>IF(E21&gt;=0.25,"Excellent",IF(E21&gt;=0.20,"Good",IF(E21&gt;=0.15,"Average",IF(E21&gt;=0.10,"Below Avg","Poor"))))</f>
        <v/>
      </c>
    </row>
    <row r="22">
      <c r="A22" s="9" t="inlineStr">
        <is>
          <t>JH_EM_FR_180DO_260330_1_4</t>
        </is>
      </c>
      <c r="B22" s="10" t="n">
        <v>46111</v>
      </c>
      <c r="C22" s="9" t="inlineStr">
        <is>
          <t>Fundraising</t>
        </is>
      </c>
      <c r="D22" s="11" t="n">
        <v>3066</v>
      </c>
      <c r="E22" s="12" t="n">
        <v>0.3228962818</v>
      </c>
      <c r="F22" s="12" t="n">
        <v>0.02348336594</v>
      </c>
      <c r="G22" s="12" t="n">
        <v>0.61187214611</v>
      </c>
      <c r="H22" s="12" t="n">
        <v>0.00456621004</v>
      </c>
      <c r="I22" s="12" t="n">
        <v>0.0048923679</v>
      </c>
      <c r="J22" s="11" t="n">
        <v>0</v>
      </c>
      <c r="K22" s="13" t="n">
        <v>0</v>
      </c>
      <c r="L22" s="11" t="n">
        <v>72</v>
      </c>
      <c r="M22" s="11" t="n">
        <v>990</v>
      </c>
      <c r="N22" s="14">
        <f>IF(E22&gt;=0.25,"Excellent",IF(E22&gt;=0.20,"Good",IF(E22&gt;=0.15,"Average",IF(E22&gt;=0.10,"Below Avg","Poor"))))</f>
        <v/>
      </c>
    </row>
    <row r="23">
      <c r="A23" s="3" t="inlineStr">
        <is>
          <t>JH_EM_FR_180DO_260331_1_5</t>
        </is>
      </c>
      <c r="B23" s="4" t="n">
        <v>46112</v>
      </c>
      <c r="C23" s="3" t="inlineStr">
        <is>
          <t>Fundraising</t>
        </is>
      </c>
      <c r="D23" s="5" t="n">
        <v>2982</v>
      </c>
      <c r="E23" s="6" t="n">
        <v>0.30482897384</v>
      </c>
      <c r="F23" s="6" t="n">
        <v>0.02246814218</v>
      </c>
      <c r="G23" s="6" t="n">
        <v>0.5918846411799999</v>
      </c>
      <c r="H23" s="6" t="n">
        <v>0.01945003353</v>
      </c>
      <c r="I23" s="6" t="n">
        <v>0.00670690811</v>
      </c>
      <c r="J23" s="5" t="n">
        <v>0</v>
      </c>
      <c r="K23" s="7" t="n">
        <v>0</v>
      </c>
      <c r="L23" s="5" t="n">
        <v>67</v>
      </c>
      <c r="M23" s="5" t="n">
        <v>909</v>
      </c>
      <c r="N23" s="8">
        <f>IF(E23&gt;=0.25,"Excellent",IF(E23&gt;=0.20,"Good",IF(E23&gt;=0.15,"Average",IF(E23&gt;=0.10,"Below Avg","Poor"))))</f>
        <v/>
      </c>
    </row>
    <row r="24">
      <c r="A24" s="9" t="inlineStr">
        <is>
          <t>JH_EM_FR_180DO_260331_2_6</t>
        </is>
      </c>
      <c r="B24" s="10" t="n">
        <v>46112</v>
      </c>
      <c r="C24" s="9" t="inlineStr">
        <is>
          <t>Fundraising</t>
        </is>
      </c>
      <c r="D24" s="11" t="n">
        <v>2953</v>
      </c>
      <c r="E24" s="12" t="n">
        <v>0.30545208262</v>
      </c>
      <c r="F24" s="12" t="n">
        <v>0.02235015238</v>
      </c>
      <c r="G24" s="12" t="n">
        <v>0.60717913985</v>
      </c>
      <c r="H24" s="12" t="n">
        <v>0.02201151371</v>
      </c>
      <c r="I24" s="12" t="n">
        <v>0.00745005079</v>
      </c>
      <c r="J24" s="11" t="n">
        <v>0</v>
      </c>
      <c r="K24" s="13" t="n">
        <v>0</v>
      </c>
      <c r="L24" s="11" t="n">
        <v>66</v>
      </c>
      <c r="M24" s="11" t="n">
        <v>902</v>
      </c>
      <c r="N24" s="14">
        <f>IF(E24&gt;=0.25,"Excellent",IF(E24&gt;=0.20,"Good",IF(E24&gt;=0.15,"Average",IF(E24&gt;=0.10,"Below Avg","Poor"))))</f>
        <v/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JH Email Stats — Daily Summary</t>
        </is>
      </c>
    </row>
    <row r="2" ht="28" customHeight="1">
      <c r="A2" s="2" t="inlineStr">
        <is>
          <t>Date</t>
        </is>
      </c>
      <c r="B2" s="2" t="inlineStr">
        <is>
          <t>Sends</t>
        </is>
      </c>
      <c r="C2" s="2" t="inlineStr">
        <is>
          <t>Total Recipients</t>
        </is>
      </c>
      <c r="D2" s="2" t="inlineStr">
        <is>
          <t>Avg Open Rate</t>
        </is>
      </c>
      <c r="E2" s="2" t="inlineStr">
        <is>
          <t>Avg Click Rate</t>
        </is>
      </c>
      <c r="F2" s="2" t="inlineStr">
        <is>
          <t>Total Conversions</t>
        </is>
      </c>
      <c r="G2" s="2" t="inlineStr">
        <is>
          <t>Total Raised</t>
        </is>
      </c>
      <c r="H2" s="2" t="inlineStr">
        <is>
          <t>Avg Bounce Rate</t>
        </is>
      </c>
      <c r="I2" s="2" t="inlineStr">
        <is>
          <t>Avg Unsub Rate</t>
        </is>
      </c>
    </row>
    <row r="3">
      <c r="A3" s="3" t="inlineStr">
        <is>
          <t>2025-02-27</t>
        </is>
      </c>
      <c r="B3" s="5" t="n">
        <v>1</v>
      </c>
      <c r="C3" s="5" t="n">
        <v>3432</v>
      </c>
      <c r="D3" s="6" t="n">
        <v>0.36013986013</v>
      </c>
      <c r="E3" s="6" t="n">
        <v>0.03001165501</v>
      </c>
      <c r="F3" s="5" t="n">
        <v>0</v>
      </c>
      <c r="G3" s="7" t="n">
        <v>0</v>
      </c>
      <c r="H3" s="6" t="n">
        <v>0.01136363636</v>
      </c>
      <c r="I3" s="6" t="n">
        <v>0.01486013986</v>
      </c>
    </row>
    <row r="4">
      <c r="A4" s="9" t="inlineStr">
        <is>
          <t>2025-11-14</t>
        </is>
      </c>
      <c r="B4" s="11" t="n">
        <v>1</v>
      </c>
      <c r="C4" s="11" t="n">
        <v>3898</v>
      </c>
      <c r="D4" s="12" t="n">
        <v>0.3224730631</v>
      </c>
      <c r="E4" s="12" t="n">
        <v>0.07311441765</v>
      </c>
      <c r="F4" s="11" t="n">
        <v>0</v>
      </c>
      <c r="G4" s="13" t="n">
        <v>0</v>
      </c>
      <c r="H4" s="12" t="n">
        <v>0.00667008722</v>
      </c>
      <c r="I4" s="12" t="n">
        <v>0.00897896357</v>
      </c>
    </row>
    <row r="5">
      <c r="A5" s="3" t="inlineStr">
        <is>
          <t>2025-12-05</t>
        </is>
      </c>
      <c r="B5" s="5" t="n">
        <v>1</v>
      </c>
      <c r="C5" s="5" t="n">
        <v>3870</v>
      </c>
      <c r="D5" s="6" t="n">
        <v>0.32428940568</v>
      </c>
      <c r="E5" s="6" t="n">
        <v>0.02558139534</v>
      </c>
      <c r="F5" s="5" t="n">
        <v>0</v>
      </c>
      <c r="G5" s="7" t="n">
        <v>0</v>
      </c>
      <c r="H5" s="6" t="n">
        <v>0.00413436692</v>
      </c>
      <c r="I5" s="6" t="n">
        <v>0.0118863049</v>
      </c>
    </row>
    <row r="6">
      <c r="A6" s="9" t="inlineStr">
        <is>
          <t>2025-12-24</t>
        </is>
      </c>
      <c r="B6" s="11" t="n">
        <v>1</v>
      </c>
      <c r="C6" s="11" t="n">
        <v>3217</v>
      </c>
      <c r="D6" s="12" t="n">
        <v>0.35156978551</v>
      </c>
      <c r="E6" s="12" t="n">
        <v>0.01771837115</v>
      </c>
      <c r="F6" s="11" t="n">
        <v>0</v>
      </c>
      <c r="G6" s="13" t="n">
        <v>0</v>
      </c>
      <c r="H6" s="12" t="n">
        <v>0.009947155730000001</v>
      </c>
      <c r="I6" s="12" t="n">
        <v>0.01087970158</v>
      </c>
    </row>
    <row r="7">
      <c r="A7" s="3" t="inlineStr">
        <is>
          <t>2025-12-31</t>
        </is>
      </c>
      <c r="B7" s="5" t="n">
        <v>2</v>
      </c>
      <c r="C7" s="5" t="n">
        <v>60956</v>
      </c>
      <c r="D7" s="6" t="n">
        <v>0.15366069259</v>
      </c>
      <c r="E7" s="6" t="n">
        <v>0.01696358088</v>
      </c>
      <c r="F7" s="5" t="n">
        <v>0</v>
      </c>
      <c r="G7" s="7" t="n">
        <v>0</v>
      </c>
      <c r="H7" s="6" t="n">
        <v>0.029744990885</v>
      </c>
      <c r="I7" s="6" t="n">
        <v>0.006741445855</v>
      </c>
    </row>
    <row r="8">
      <c r="A8" s="9" t="inlineStr">
        <is>
          <t>2026-01-02</t>
        </is>
      </c>
      <c r="B8" s="11" t="n">
        <v>1</v>
      </c>
      <c r="C8" s="11" t="n">
        <v>162</v>
      </c>
      <c r="D8" s="12" t="n">
        <v>0.12962962962</v>
      </c>
      <c r="E8" s="12" t="n">
        <v>0.04320987654</v>
      </c>
      <c r="F8" s="11" t="n">
        <v>0</v>
      </c>
      <c r="G8" s="13" t="n">
        <v>0</v>
      </c>
      <c r="H8" s="12" t="n">
        <v>0.01851851851</v>
      </c>
      <c r="I8" s="12" t="n">
        <v>0</v>
      </c>
    </row>
    <row r="9">
      <c r="A9" s="3" t="inlineStr">
        <is>
          <t>2026-01-16</t>
        </is>
      </c>
      <c r="B9" s="5" t="n">
        <v>2</v>
      </c>
      <c r="C9" s="5" t="n">
        <v>3886</v>
      </c>
      <c r="D9" s="6" t="n">
        <v>0.172827764355</v>
      </c>
      <c r="E9" s="6" t="n">
        <v>0.044439412235</v>
      </c>
      <c r="F9" s="5" t="n">
        <v>0</v>
      </c>
      <c r="G9" s="7" t="n">
        <v>0</v>
      </c>
      <c r="H9" s="6" t="n">
        <v>0.01748356146</v>
      </c>
      <c r="I9" s="6" t="n">
        <v>0.006709608155</v>
      </c>
    </row>
    <row r="10">
      <c r="A10" s="9" t="inlineStr">
        <is>
          <t>2026-02-20</t>
        </is>
      </c>
      <c r="B10" s="11" t="n">
        <v>1</v>
      </c>
      <c r="C10" s="11" t="n">
        <v>158</v>
      </c>
      <c r="D10" s="12" t="n">
        <v>0.17088607594</v>
      </c>
      <c r="E10" s="12" t="n">
        <v>0.03164556962</v>
      </c>
      <c r="F10" s="11" t="n">
        <v>0</v>
      </c>
      <c r="G10" s="13" t="n">
        <v>0</v>
      </c>
      <c r="H10" s="12" t="n">
        <v>0.00632911392</v>
      </c>
      <c r="I10" s="12" t="n">
        <v>0</v>
      </c>
    </row>
    <row r="11">
      <c r="A11" s="3" t="inlineStr">
        <is>
          <t>2026-03-12</t>
        </is>
      </c>
      <c r="B11" s="5" t="n">
        <v>1</v>
      </c>
      <c r="C11" s="5" t="n">
        <v>4399</v>
      </c>
      <c r="D11" s="6" t="n">
        <v>0.30165946806</v>
      </c>
      <c r="E11" s="6" t="n">
        <v>0.06956126392</v>
      </c>
      <c r="F11" s="5" t="n">
        <v>0</v>
      </c>
      <c r="G11" s="7" t="n">
        <v>0</v>
      </c>
      <c r="H11" s="6" t="n">
        <v>0.00659240736</v>
      </c>
      <c r="I11" s="6" t="n">
        <v>0.009547624459999999</v>
      </c>
    </row>
    <row r="12">
      <c r="A12" s="9" t="inlineStr">
        <is>
          <t>2026-03-13</t>
        </is>
      </c>
      <c r="B12" s="11" t="n">
        <v>1</v>
      </c>
      <c r="C12" s="11" t="n">
        <v>4345</v>
      </c>
      <c r="D12" s="12" t="n">
        <v>0.28561565017</v>
      </c>
      <c r="E12" s="12" t="n">
        <v>0.06490218641999999</v>
      </c>
      <c r="F12" s="11" t="n">
        <v>0</v>
      </c>
      <c r="G12" s="13" t="n">
        <v>0</v>
      </c>
      <c r="H12" s="12" t="n">
        <v>0.00391254315</v>
      </c>
      <c r="I12" s="12" t="n">
        <v>0.00851553509</v>
      </c>
    </row>
    <row r="13">
      <c r="A13" s="3" t="inlineStr">
        <is>
          <t>2026-03-16</t>
        </is>
      </c>
      <c r="B13" s="5" t="n">
        <v>2</v>
      </c>
      <c r="C13" s="5" t="n">
        <v>7185</v>
      </c>
      <c r="D13" s="6" t="n">
        <v>0.310512979575</v>
      </c>
      <c r="E13" s="6" t="n">
        <v>0.024753043345</v>
      </c>
      <c r="F13" s="5" t="n">
        <v>0</v>
      </c>
      <c r="G13" s="7" t="n">
        <v>0</v>
      </c>
      <c r="H13" s="6" t="n">
        <v>0.01252299019</v>
      </c>
      <c r="I13" s="6" t="n">
        <v>0.0094627455</v>
      </c>
    </row>
    <row r="14">
      <c r="A14" s="9" t="inlineStr">
        <is>
          <t>2026-03-26</t>
        </is>
      </c>
      <c r="B14" s="11" t="n">
        <v>2</v>
      </c>
      <c r="C14" s="11" t="n">
        <v>5705</v>
      </c>
      <c r="D14" s="12" t="n">
        <v>0.189313962125</v>
      </c>
      <c r="E14" s="12" t="n">
        <v>0.017892645405</v>
      </c>
      <c r="F14" s="11" t="n">
        <v>0</v>
      </c>
      <c r="G14" s="13" t="n">
        <v>0</v>
      </c>
      <c r="H14" s="12" t="n">
        <v>0.02678140037</v>
      </c>
      <c r="I14" s="12" t="n">
        <v>0.003633321235</v>
      </c>
    </row>
    <row r="15">
      <c r="A15" s="3" t="inlineStr">
        <is>
          <t>2026-03-27</t>
        </is>
      </c>
      <c r="B15" s="5" t="n">
        <v>1</v>
      </c>
      <c r="C15" s="5" t="n">
        <v>2662</v>
      </c>
      <c r="D15" s="6" t="n">
        <v>0.35462058602</v>
      </c>
      <c r="E15" s="6" t="n">
        <v>0.02479338842</v>
      </c>
      <c r="F15" s="5" t="n">
        <v>0</v>
      </c>
      <c r="G15" s="7" t="n">
        <v>0</v>
      </c>
      <c r="H15" s="6" t="n">
        <v>0.0033809166</v>
      </c>
      <c r="I15" s="6" t="n">
        <v>0.0067618332</v>
      </c>
    </row>
    <row r="16">
      <c r="A16" s="9" t="inlineStr">
        <is>
          <t>2026-03-29</t>
        </is>
      </c>
      <c r="B16" s="11" t="n">
        <v>1</v>
      </c>
      <c r="C16" s="11" t="n">
        <v>2627</v>
      </c>
      <c r="D16" s="12" t="n">
        <v>0.35820327369</v>
      </c>
      <c r="E16" s="12" t="n">
        <v>0.03616292348</v>
      </c>
      <c r="F16" s="11" t="n">
        <v>0</v>
      </c>
      <c r="G16" s="13" t="n">
        <v>0</v>
      </c>
      <c r="H16" s="12" t="n">
        <v>0.00304529881</v>
      </c>
      <c r="I16" s="12" t="n">
        <v>0.007993909400000001</v>
      </c>
    </row>
    <row r="17">
      <c r="A17" s="3" t="inlineStr">
        <is>
          <t>2026-03-30</t>
        </is>
      </c>
      <c r="B17" s="5" t="n">
        <v>2</v>
      </c>
      <c r="C17" s="5" t="n">
        <v>3294</v>
      </c>
      <c r="D17" s="6" t="n">
        <v>0.28425515844</v>
      </c>
      <c r="E17" s="6" t="n">
        <v>0.06656624437</v>
      </c>
      <c r="F17" s="5" t="n">
        <v>17</v>
      </c>
      <c r="G17" s="7" t="n">
        <v>12000</v>
      </c>
      <c r="H17" s="6" t="n">
        <v>0.0132480173</v>
      </c>
      <c r="I17" s="6" t="n">
        <v>0.00244618395</v>
      </c>
    </row>
    <row r="18">
      <c r="A18" s="9" t="inlineStr">
        <is>
          <t>2026-03-31</t>
        </is>
      </c>
      <c r="B18" s="11" t="n">
        <v>2</v>
      </c>
      <c r="C18" s="11" t="n">
        <v>5935</v>
      </c>
      <c r="D18" s="12" t="n">
        <v>0.30514052823</v>
      </c>
      <c r="E18" s="12" t="n">
        <v>0.02240914728</v>
      </c>
      <c r="F18" s="11" t="n">
        <v>0</v>
      </c>
      <c r="G18" s="13" t="n">
        <v>0</v>
      </c>
      <c r="H18" s="12" t="n">
        <v>0.02073077362</v>
      </c>
      <c r="I18" s="12" t="n">
        <v>0.007078479449999999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JH Email Stats — Weekly Summary</t>
        </is>
      </c>
    </row>
    <row r="2" ht="28" customHeight="1">
      <c r="A2" s="2" t="inlineStr">
        <is>
          <t>Week Of</t>
        </is>
      </c>
      <c r="B2" s="2" t="inlineStr">
        <is>
          <t>Sends</t>
        </is>
      </c>
      <c r="C2" s="2" t="inlineStr">
        <is>
          <t>Total Recipients</t>
        </is>
      </c>
      <c r="D2" s="2" t="inlineStr">
        <is>
          <t>Avg Open Rate</t>
        </is>
      </c>
      <c r="E2" s="2" t="inlineStr">
        <is>
          <t>Avg Click Rate</t>
        </is>
      </c>
      <c r="F2" s="2" t="inlineStr">
        <is>
          <t>Total Conversions</t>
        </is>
      </c>
      <c r="G2" s="2" t="inlineStr">
        <is>
          <t>Total Raised</t>
        </is>
      </c>
      <c r="H2" s="2" t="inlineStr">
        <is>
          <t>Avg Bounce Rate</t>
        </is>
      </c>
      <c r="I2" s="2" t="inlineStr">
        <is>
          <t>Avg Unsub Rate</t>
        </is>
      </c>
    </row>
    <row r="3">
      <c r="A3" s="3" t="inlineStr">
        <is>
          <t>2025-02-24</t>
        </is>
      </c>
      <c r="B3" s="5" t="n">
        <v>1</v>
      </c>
      <c r="C3" s="5" t="n">
        <v>3432</v>
      </c>
      <c r="D3" s="6" t="n">
        <v>0.36013986013</v>
      </c>
      <c r="E3" s="6" t="n">
        <v>0.03001165501</v>
      </c>
      <c r="F3" s="5" t="n">
        <v>0</v>
      </c>
      <c r="G3" s="7" t="n">
        <v>0</v>
      </c>
      <c r="H3" s="6" t="n">
        <v>0.01136363636</v>
      </c>
      <c r="I3" s="6" t="n">
        <v>0.01486013986</v>
      </c>
    </row>
    <row r="4">
      <c r="A4" s="9" t="inlineStr">
        <is>
          <t>2025-11-10</t>
        </is>
      </c>
      <c r="B4" s="11" t="n">
        <v>1</v>
      </c>
      <c r="C4" s="11" t="n">
        <v>3898</v>
      </c>
      <c r="D4" s="12" t="n">
        <v>0.3224730631</v>
      </c>
      <c r="E4" s="12" t="n">
        <v>0.07311441765</v>
      </c>
      <c r="F4" s="11" t="n">
        <v>0</v>
      </c>
      <c r="G4" s="13" t="n">
        <v>0</v>
      </c>
      <c r="H4" s="12" t="n">
        <v>0.00667008722</v>
      </c>
      <c r="I4" s="12" t="n">
        <v>0.00897896357</v>
      </c>
    </row>
    <row r="5">
      <c r="A5" s="3" t="inlineStr">
        <is>
          <t>2025-12-01</t>
        </is>
      </c>
      <c r="B5" s="5" t="n">
        <v>1</v>
      </c>
      <c r="C5" s="5" t="n">
        <v>3870</v>
      </c>
      <c r="D5" s="6" t="n">
        <v>0.32428940568</v>
      </c>
      <c r="E5" s="6" t="n">
        <v>0.02558139534</v>
      </c>
      <c r="F5" s="5" t="n">
        <v>0</v>
      </c>
      <c r="G5" s="7" t="n">
        <v>0</v>
      </c>
      <c r="H5" s="6" t="n">
        <v>0.00413436692</v>
      </c>
      <c r="I5" s="6" t="n">
        <v>0.0118863049</v>
      </c>
    </row>
    <row r="6">
      <c r="A6" s="9" t="inlineStr">
        <is>
          <t>2025-12-22</t>
        </is>
      </c>
      <c r="B6" s="11" t="n">
        <v>1</v>
      </c>
      <c r="C6" s="11" t="n">
        <v>3217</v>
      </c>
      <c r="D6" s="12" t="n">
        <v>0.35156978551</v>
      </c>
      <c r="E6" s="12" t="n">
        <v>0.01771837115</v>
      </c>
      <c r="F6" s="11" t="n">
        <v>0</v>
      </c>
      <c r="G6" s="13" t="n">
        <v>0</v>
      </c>
      <c r="H6" s="12" t="n">
        <v>0.009947155730000001</v>
      </c>
      <c r="I6" s="12" t="n">
        <v>0.01087970158</v>
      </c>
    </row>
    <row r="7">
      <c r="A7" s="3" t="inlineStr">
        <is>
          <t>2025-12-29</t>
        </is>
      </c>
      <c r="B7" s="5" t="n">
        <v>3</v>
      </c>
      <c r="C7" s="5" t="n">
        <v>61118</v>
      </c>
      <c r="D7" s="6" t="n">
        <v>0.1456503382666667</v>
      </c>
      <c r="E7" s="6" t="n">
        <v>0.0257123461</v>
      </c>
      <c r="F7" s="5" t="n">
        <v>0</v>
      </c>
      <c r="G7" s="7" t="n">
        <v>0</v>
      </c>
      <c r="H7" s="6" t="n">
        <v>0.02600283342666667</v>
      </c>
      <c r="I7" s="6" t="n">
        <v>0.004494297236666667</v>
      </c>
    </row>
    <row r="8">
      <c r="A8" s="9" t="inlineStr">
        <is>
          <t>2026-01-12</t>
        </is>
      </c>
      <c r="B8" s="11" t="n">
        <v>2</v>
      </c>
      <c r="C8" s="11" t="n">
        <v>3886</v>
      </c>
      <c r="D8" s="12" t="n">
        <v>0.172827764355</v>
      </c>
      <c r="E8" s="12" t="n">
        <v>0.044439412235</v>
      </c>
      <c r="F8" s="11" t="n">
        <v>0</v>
      </c>
      <c r="G8" s="13" t="n">
        <v>0</v>
      </c>
      <c r="H8" s="12" t="n">
        <v>0.01748356146</v>
      </c>
      <c r="I8" s="12" t="n">
        <v>0.006709608155</v>
      </c>
    </row>
    <row r="9">
      <c r="A9" s="3" t="inlineStr">
        <is>
          <t>2026-02-16</t>
        </is>
      </c>
      <c r="B9" s="5" t="n">
        <v>1</v>
      </c>
      <c r="C9" s="5" t="n">
        <v>158</v>
      </c>
      <c r="D9" s="6" t="n">
        <v>0.17088607594</v>
      </c>
      <c r="E9" s="6" t="n">
        <v>0.03164556962</v>
      </c>
      <c r="F9" s="5" t="n">
        <v>0</v>
      </c>
      <c r="G9" s="7" t="n">
        <v>0</v>
      </c>
      <c r="H9" s="6" t="n">
        <v>0.00632911392</v>
      </c>
      <c r="I9" s="6" t="n">
        <v>0</v>
      </c>
    </row>
    <row r="10">
      <c r="A10" s="9" t="inlineStr">
        <is>
          <t>2026-03-09</t>
        </is>
      </c>
      <c r="B10" s="11" t="n">
        <v>2</v>
      </c>
      <c r="C10" s="11" t="n">
        <v>8744</v>
      </c>
      <c r="D10" s="12" t="n">
        <v>0.293637559115</v>
      </c>
      <c r="E10" s="12" t="n">
        <v>0.06723172517000001</v>
      </c>
      <c r="F10" s="11" t="n">
        <v>0</v>
      </c>
      <c r="G10" s="13" t="n">
        <v>0</v>
      </c>
      <c r="H10" s="12" t="n">
        <v>0.005252475255</v>
      </c>
      <c r="I10" s="12" t="n">
        <v>0.009031579775</v>
      </c>
    </row>
    <row r="11">
      <c r="A11" s="3" t="inlineStr">
        <is>
          <t>2026-03-16</t>
        </is>
      </c>
      <c r="B11" s="5" t="n">
        <v>2</v>
      </c>
      <c r="C11" s="5" t="n">
        <v>7185</v>
      </c>
      <c r="D11" s="6" t="n">
        <v>0.310512979575</v>
      </c>
      <c r="E11" s="6" t="n">
        <v>0.024753043345</v>
      </c>
      <c r="F11" s="5" t="n">
        <v>0</v>
      </c>
      <c r="G11" s="7" t="n">
        <v>0</v>
      </c>
      <c r="H11" s="6" t="n">
        <v>0.01252299019</v>
      </c>
      <c r="I11" s="6" t="n">
        <v>0.0094627455</v>
      </c>
    </row>
    <row r="12">
      <c r="A12" s="9" t="inlineStr">
        <is>
          <t>2026-03-23</t>
        </is>
      </c>
      <c r="B12" s="11" t="n">
        <v>4</v>
      </c>
      <c r="C12" s="11" t="n">
        <v>10994</v>
      </c>
      <c r="D12" s="12" t="n">
        <v>0.27286294599</v>
      </c>
      <c r="E12" s="12" t="n">
        <v>0.0241854006775</v>
      </c>
      <c r="F12" s="11" t="n">
        <v>0</v>
      </c>
      <c r="G12" s="13" t="n">
        <v>0</v>
      </c>
      <c r="H12" s="12" t="n">
        <v>0.0149972540375</v>
      </c>
      <c r="I12" s="12" t="n">
        <v>0.0055055962675</v>
      </c>
    </row>
    <row r="13">
      <c r="A13" s="3" t="inlineStr">
        <is>
          <t>2026-03-30</t>
        </is>
      </c>
      <c r="B13" s="5" t="n">
        <v>4</v>
      </c>
      <c r="C13" s="5" t="n">
        <v>9229</v>
      </c>
      <c r="D13" s="6" t="n">
        <v>0.294697843335</v>
      </c>
      <c r="E13" s="6" t="n">
        <v>0.044487695825</v>
      </c>
      <c r="F13" s="5" t="n">
        <v>17</v>
      </c>
      <c r="G13" s="7" t="n">
        <v>12000</v>
      </c>
      <c r="H13" s="6" t="n">
        <v>0.01698939546</v>
      </c>
      <c r="I13" s="6" t="n">
        <v>0.0047623317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JH Email Stats — Monthly Summary</t>
        </is>
      </c>
    </row>
    <row r="2" ht="28" customHeight="1">
      <c r="A2" s="2" t="inlineStr">
        <is>
          <t>Month</t>
        </is>
      </c>
      <c r="B2" s="2" t="inlineStr">
        <is>
          <t>Sends</t>
        </is>
      </c>
      <c r="C2" s="2" t="inlineStr">
        <is>
          <t>Total Recipients</t>
        </is>
      </c>
      <c r="D2" s="2" t="inlineStr">
        <is>
          <t>Avg Open Rate</t>
        </is>
      </c>
      <c r="E2" s="2" t="inlineStr">
        <is>
          <t>Avg Click Rate</t>
        </is>
      </c>
      <c r="F2" s="2" t="inlineStr">
        <is>
          <t>Total Conversions</t>
        </is>
      </c>
      <c r="G2" s="2" t="inlineStr">
        <is>
          <t>Total Raised</t>
        </is>
      </c>
      <c r="H2" s="2" t="inlineStr">
        <is>
          <t>Avg Bounce Rate</t>
        </is>
      </c>
      <c r="I2" s="2" t="inlineStr">
        <is>
          <t>Avg Unsub Rate</t>
        </is>
      </c>
    </row>
    <row r="3">
      <c r="A3" s="3" t="inlineStr">
        <is>
          <t>2025-02</t>
        </is>
      </c>
      <c r="B3" s="5" t="n">
        <v>1</v>
      </c>
      <c r="C3" s="5" t="n">
        <v>3432</v>
      </c>
      <c r="D3" s="6" t="n">
        <v>0.36013986013</v>
      </c>
      <c r="E3" s="6" t="n">
        <v>0.03001165501</v>
      </c>
      <c r="F3" s="5" t="n">
        <v>0</v>
      </c>
      <c r="G3" s="7" t="n">
        <v>0</v>
      </c>
      <c r="H3" s="6" t="n">
        <v>0.01136363636</v>
      </c>
      <c r="I3" s="6" t="n">
        <v>0.01486013986</v>
      </c>
    </row>
    <row r="4">
      <c r="A4" s="9" t="inlineStr">
        <is>
          <t>2025-11</t>
        </is>
      </c>
      <c r="B4" s="11" t="n">
        <v>1</v>
      </c>
      <c r="C4" s="11" t="n">
        <v>3898</v>
      </c>
      <c r="D4" s="12" t="n">
        <v>0.3224730631</v>
      </c>
      <c r="E4" s="12" t="n">
        <v>0.07311441765</v>
      </c>
      <c r="F4" s="11" t="n">
        <v>0</v>
      </c>
      <c r="G4" s="13" t="n">
        <v>0</v>
      </c>
      <c r="H4" s="12" t="n">
        <v>0.00667008722</v>
      </c>
      <c r="I4" s="12" t="n">
        <v>0.00897896357</v>
      </c>
    </row>
    <row r="5">
      <c r="A5" s="3" t="inlineStr">
        <is>
          <t>2025-12</t>
        </is>
      </c>
      <c r="B5" s="5" t="n">
        <v>4</v>
      </c>
      <c r="C5" s="5" t="n">
        <v>68043</v>
      </c>
      <c r="D5" s="6" t="n">
        <v>0.2457951440925</v>
      </c>
      <c r="E5" s="6" t="n">
        <v>0.0193067320625</v>
      </c>
      <c r="F5" s="5" t="n">
        <v>0</v>
      </c>
      <c r="G5" s="7" t="n">
        <v>0</v>
      </c>
      <c r="H5" s="6" t="n">
        <v>0.018392876105</v>
      </c>
      <c r="I5" s="6" t="n">
        <v>0.009062224547500001</v>
      </c>
    </row>
    <row r="6">
      <c r="A6" s="9" t="inlineStr">
        <is>
          <t>2026-01</t>
        </is>
      </c>
      <c r="B6" s="11" t="n">
        <v>3</v>
      </c>
      <c r="C6" s="11" t="n">
        <v>4048</v>
      </c>
      <c r="D6" s="12" t="n">
        <v>0.15842838611</v>
      </c>
      <c r="E6" s="12" t="n">
        <v>0.04402956700333333</v>
      </c>
      <c r="F6" s="11" t="n">
        <v>0</v>
      </c>
      <c r="G6" s="13" t="n">
        <v>0</v>
      </c>
      <c r="H6" s="12" t="n">
        <v>0.01782854714333333</v>
      </c>
      <c r="I6" s="12" t="n">
        <v>0.004473072103333334</v>
      </c>
    </row>
    <row r="7">
      <c r="A7" s="3" t="inlineStr">
        <is>
          <t>2026-02</t>
        </is>
      </c>
      <c r="B7" s="5" t="n">
        <v>1</v>
      </c>
      <c r="C7" s="5" t="n">
        <v>158</v>
      </c>
      <c r="D7" s="6" t="n">
        <v>0.17088607594</v>
      </c>
      <c r="E7" s="6" t="n">
        <v>0.03164556962</v>
      </c>
      <c r="F7" s="5" t="n">
        <v>0</v>
      </c>
      <c r="G7" s="7" t="n">
        <v>0</v>
      </c>
      <c r="H7" s="6" t="n">
        <v>0.00632911392</v>
      </c>
      <c r="I7" s="6" t="n">
        <v>0</v>
      </c>
    </row>
    <row r="8">
      <c r="A8" s="9" t="inlineStr">
        <is>
          <t>2026-03</t>
        </is>
      </c>
      <c r="B8" s="11" t="n">
        <v>12</v>
      </c>
      <c r="C8" s="11" t="n">
        <v>36152</v>
      </c>
      <c r="D8" s="12" t="n">
        <v>0.2898786862233333</v>
      </c>
      <c r="E8" s="12" t="n">
        <v>0.03822182692</v>
      </c>
      <c r="F8" s="11" t="n">
        <v>17</v>
      </c>
      <c r="G8" s="13" t="n">
        <v>12000</v>
      </c>
      <c r="H8" s="12" t="n">
        <v>0.01362479407333333</v>
      </c>
      <c r="I8" s="12" t="n">
        <v>0.006505030201666667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JH Email Stats — Quarterly Summary</t>
        </is>
      </c>
    </row>
    <row r="2" ht="28" customHeight="1">
      <c r="A2" s="2" t="inlineStr">
        <is>
          <t>Quarter</t>
        </is>
      </c>
      <c r="B2" s="2" t="inlineStr">
        <is>
          <t>Sends</t>
        </is>
      </c>
      <c r="C2" s="2" t="inlineStr">
        <is>
          <t>Total Recipients</t>
        </is>
      </c>
      <c r="D2" s="2" t="inlineStr">
        <is>
          <t>Avg Open Rate</t>
        </is>
      </c>
      <c r="E2" s="2" t="inlineStr">
        <is>
          <t>Avg Click Rate</t>
        </is>
      </c>
      <c r="F2" s="2" t="inlineStr">
        <is>
          <t>Total Conversions</t>
        </is>
      </c>
      <c r="G2" s="2" t="inlineStr">
        <is>
          <t>Total Raised</t>
        </is>
      </c>
      <c r="H2" s="2" t="inlineStr">
        <is>
          <t>Avg Bounce Rate</t>
        </is>
      </c>
      <c r="I2" s="2" t="inlineStr">
        <is>
          <t>Avg Unsub Rate</t>
        </is>
      </c>
    </row>
    <row r="3">
      <c r="A3" s="3" t="inlineStr">
        <is>
          <t>2025Q1</t>
        </is>
      </c>
      <c r="B3" s="5" t="n">
        <v>1</v>
      </c>
      <c r="C3" s="5" t="n">
        <v>3432</v>
      </c>
      <c r="D3" s="6" t="n">
        <v>0.36013986013</v>
      </c>
      <c r="E3" s="6" t="n">
        <v>0.03001165501</v>
      </c>
      <c r="F3" s="5" t="n">
        <v>0</v>
      </c>
      <c r="G3" s="7" t="n">
        <v>0</v>
      </c>
      <c r="H3" s="6" t="n">
        <v>0.01136363636</v>
      </c>
      <c r="I3" s="6" t="n">
        <v>0.01486013986</v>
      </c>
    </row>
    <row r="4">
      <c r="A4" s="9" t="inlineStr">
        <is>
          <t>2025Q4</t>
        </is>
      </c>
      <c r="B4" s="11" t="n">
        <v>5</v>
      </c>
      <c r="C4" s="11" t="n">
        <v>71941</v>
      </c>
      <c r="D4" s="12" t="n">
        <v>0.261130727894</v>
      </c>
      <c r="E4" s="12" t="n">
        <v>0.03006826918</v>
      </c>
      <c r="F4" s="11" t="n">
        <v>0</v>
      </c>
      <c r="G4" s="13" t="n">
        <v>0</v>
      </c>
      <c r="H4" s="12" t="n">
        <v>0.016048318328</v>
      </c>
      <c r="I4" s="12" t="n">
        <v>0.009045572352</v>
      </c>
    </row>
    <row r="5">
      <c r="A5" s="3" t="inlineStr">
        <is>
          <t>2026Q1</t>
        </is>
      </c>
      <c r="B5" s="5" t="n">
        <v>16</v>
      </c>
      <c r="C5" s="5" t="n">
        <v>40358</v>
      </c>
      <c r="D5" s="6" t="n">
        <v>0.257794716809375</v>
      </c>
      <c r="E5" s="6" t="n">
        <v>0.038899762104375</v>
      </c>
      <c r="F5" s="5" t="n">
        <v>17</v>
      </c>
      <c r="G5" s="7" t="n">
        <v>12000</v>
      </c>
      <c r="H5" s="6" t="n">
        <v>0.013957017764375</v>
      </c>
      <c r="I5" s="6" t="n">
        <v>0.005717473670625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2026-04-14T16:18:11Z</dcterms:created>
  <dcterms:modified xmlns:dcterms="http://purl.org/dc/terms/" xmlns:xsi="http://www.w3.org/2001/XMLSchema-instance" xsi:type="dcterms:W3CDTF">2026-04-14T16:18:11Z</dcterms:modified>
</cp:coreProperties>
</file>